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E6838A5-E007-4FBA-91F1-73AD2C7EAD41}" xr6:coauthVersionLast="47" xr6:coauthVersionMax="47" xr10:uidLastSave="{00000000-0000-0000-0000-000000000000}"/>
  <bookViews>
    <workbookView xWindow="28680" yWindow="-120" windowWidth="29040" windowHeight="15720" xr2:uid="{F30D2825-6AB8-440A-8958-8AE9126C327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I3" i="1"/>
  <c r="H3" i="1"/>
  <c r="J3" i="1" s="1"/>
  <c r="E3" i="1"/>
  <c r="D3" i="1"/>
  <c r="C3" i="1"/>
  <c r="B3" i="1"/>
  <c r="A3" i="1"/>
  <c r="K3" i="1" l="1"/>
  <c r="L3" i="1" s="1"/>
  <c r="M3" i="1" l="1"/>
</calcChain>
</file>

<file path=xl/sharedStrings.xml><?xml version="1.0" encoding="utf-8"?>
<sst xmlns="http://schemas.openxmlformats.org/spreadsheetml/2006/main" count="26" uniqueCount="26">
  <si>
    <t>Column 1</t>
  </si>
  <si>
    <t>Column 2</t>
  </si>
  <si>
    <t>Column 3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</si>
  <si>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</si>
  <si>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</si>
  <si>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</si>
  <si>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</si>
  <si>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</si>
  <si>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</si>
  <si>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</si>
  <si>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</si>
  <si>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</si>
  <si>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</si>
  <si>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S/N</t>
  </si>
  <si>
    <t>EMP. CODE</t>
  </si>
  <si>
    <t>EMPLOYEE NAME</t>
  </si>
  <si>
    <t>JOIN DATE</t>
  </si>
  <si>
    <t>GRADE</t>
  </si>
  <si>
    <t>LOCATION OF SERVICE</t>
  </si>
  <si>
    <t>Gross Monthly Salary</t>
  </si>
  <si>
    <t>Operational Reimbursable</t>
  </si>
  <si>
    <t>Total Outsourcing &amp; Statutory Cost</t>
  </si>
  <si>
    <t>Total Staff Cost</t>
  </si>
  <si>
    <t>Agency Fee</t>
  </si>
  <si>
    <t>VAT on Agency fee</t>
  </si>
  <si>
    <t>Total Cost of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</si>
</sst>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09]d\-mmm\-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/>
      <name val="Garamond"/>
      <family val="1"/>
    </font>
    <font>
      <b/>
      <sz val="11.5"/>
      <color rgb="FF000000"/>
      <name val="Garamond"/>
      <family val="1"/>
    </font>
    <font>
      <b/>
      <sz val="11.5"/>
      <color theme="0"/>
      <name val="Garamond"/>
      <family val="1"/>
    </font>
    <font>
      <b/>
      <sz val="11.5"/>
      <color rgb="FFFFFFFF"/>
      <name val="Garamond"/>
      <family val="1"/>
    </font>
    <font>
      <sz val="12"/>
      <color theme="1"/>
      <name val="Garamond"/>
      <family val="1"/>
    </font>
    <font>
      <sz val="12"/>
      <name val="Garamond"/>
      <family val="1"/>
    </font>
    <font>
      <sz val="12"/>
      <color rgb="FF000000"/>
      <name val="Garamond"/>
      <family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4" fontId="4" fillId="4" borderId="5" xfId="1" applyNumberFormat="1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7" fillId="9" borderId="8" xfId="0" applyFont="1" applyFill="1" applyBorder="1"/>
    <xf numFmtId="165" fontId="8" fillId="0" borderId="8" xfId="0" applyNumberFormat="1" applyFont="1" applyBorder="1" applyAlignment="1">
      <alignment horizontal="right"/>
    </xf>
    <xf numFmtId="0" fontId="6" fillId="9" borderId="8" xfId="0" applyFont="1" applyFill="1" applyBorder="1"/>
    <xf numFmtId="165" fontId="8" fillId="0" borderId="8" xfId="0" applyNumberFormat="1" applyFont="1" applyBorder="1" applyAlignment="1">
      <alignment horizontal="left"/>
    </xf>
    <xf numFmtId="164" fontId="7" fillId="0" borderId="8" xfId="2" applyFont="1" applyFill="1" applyBorder="1"/>
  </cellXfs>
  <cellStyles count="3">
    <cellStyle name="Comma" xfId="1" builtinId="3"/>
    <cellStyle name="Comma 2" xfId="2" xr:uid="{A6917334-1D1B-4895-BD36-FFE9FB2AEEAF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inserver\W.I.P\2025\09%20September\Fiducia\SEPTEMBER%202025%20Fiducia%20PAYROLL.xlsx" TargetMode="External"/><Relationship Id="rId1" Type="http://schemas.openxmlformats.org/officeDocument/2006/relationships/externalLinkPath" Target="file:///\\mainserver\W.I.P\2025\09%20September\Fiducia\SEPTEMBER%202025%20Fiducia%20PAYRO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F Cl"/>
      <sheetName val="Schedule 1Cl"/>
      <sheetName val="Payroll"/>
      <sheetName val="INVF Cl (2)"/>
    </sheetNames>
    <sheetDataSet>
      <sheetData sheetId="0"/>
      <sheetData sheetId="1"/>
      <sheetData sheetId="2">
        <row r="2">
          <cell r="A2" t="str">
            <v>MONTH: SEPTEMBER, 2025 SCHEDULE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2A20-3E52-49A8-9406-9B275ADD2674}">
  <dimension ref="A1:M3"/>
  <sheetViews>
    <sheetView tabSelected="1" workbookViewId="0">
      <selection activeCell="L8" sqref="L8"/>
    </sheetView>
  </sheetViews>
  <sheetFormatPr defaultRowHeight="14.4" x14ac:dyDescent="0.3"/>
  <cols>
    <col min="6" max="6" width="11.109375" bestFit="1" customWidth="1"/>
    <col min="7" max="7" width="12.33203125" bestFit="1" customWidth="1"/>
    <col min="8" max="8" width="11.109375" bestFit="1" customWidth="1"/>
    <col min="9" max="9" width="12.109375" bestFit="1" customWidth="1"/>
    <col min="10" max="10" width="12.33203125" bestFit="1" customWidth="1"/>
    <col min="11" max="12" width="12.109375" bestFit="1" customWidth="1"/>
    <col min="13" max="13" width="12.33203125" bestFit="1" customWidth="1"/>
  </cols>
  <sheetData>
    <row r="1" spans="1:13" ht="18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75.599999999999994" thickBot="1" x14ac:dyDescent="0.35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6" t="s">
        <v>19</v>
      </c>
      <c r="H2" s="6" t="s">
        <v>20</v>
      </c>
      <c r="I2" s="7" t="s">
        <v>21</v>
      </c>
      <c r="J2" s="8" t="s">
        <v>22</v>
      </c>
      <c r="K2" s="9" t="s">
        <v>23</v>
      </c>
      <c r="L2" s="10" t="s">
        <v>24</v>
      </c>
      <c r="M2" s="11" t="s">
        <v>25</v>
      </c>
    </row>
    <row r="3" spans="1:13" ht="15.6" x14ac:dyDescent="0.3">
      <c r="A3" s="12" t="str">
        <f>[1]Payroll!A2</f>
        <v>MONTH: SEPTEMBER, 2025 SCHEDULE</v>
      </c>
      <c r="B3" s="13">
        <f>[1]Payroll!B2</f>
        <v>0</v>
      </c>
      <c r="C3" s="14">
        <f>[1]Payroll!C2</f>
        <v>0</v>
      </c>
      <c r="D3" s="15">
        <f>[1]Payroll!E2</f>
        <v>0</v>
      </c>
      <c r="E3" s="16">
        <f>[1]Payroll!D2</f>
        <v>0</v>
      </c>
      <c r="F3" s="17">
        <f>[1]Payroll!G2</f>
        <v>0</v>
      </c>
      <c r="G3" s="18">
        <v>118970.50829653667</v>
      </c>
      <c r="H3" s="18">
        <f>[1]Payroll!T2</f>
        <v>0</v>
      </c>
      <c r="I3" s="18">
        <f>[1]Payroll!AG2</f>
        <v>0</v>
      </c>
      <c r="J3" s="18">
        <f>SUM(G3:I3)</f>
        <v>118970.50829653667</v>
      </c>
      <c r="K3" s="18">
        <f>10%*J3</f>
        <v>11897.050829653668</v>
      </c>
      <c r="L3" s="18">
        <f>7.5%*K3</f>
        <v>892.27881222402505</v>
      </c>
      <c r="M3" s="18">
        <f t="shared" ref="M3" si="0">J3+K3+L3</f>
        <v>131759.83793841436</v>
      </c>
    </row>
  </sheetData>
  <conditionalFormatting sqref="B3">
    <cfRule type="duplicateValues" dxfId="1" priority="2"/>
  </conditionalFormatting>
  <conditionalFormatting sqref="B1:B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Runmokun</dc:creator>
  <cp:lastModifiedBy>Ibrahim Runmokun</cp:lastModifiedBy>
  <dcterms:created xsi:type="dcterms:W3CDTF">2025-10-13T16:12:14Z</dcterms:created>
  <dcterms:modified xsi:type="dcterms:W3CDTF">2025-10-13T16:16:33Z</dcterms:modified>
</cp:coreProperties>
</file>