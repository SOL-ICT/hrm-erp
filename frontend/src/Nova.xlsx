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\Desktop\"/>
    </mc:Choice>
  </mc:AlternateContent>
  <xr:revisionPtr revIDLastSave="0" documentId="13_ncr:1_{9B127303-A37C-4679-A84D-C24C42C4DB5D}" xr6:coauthVersionLast="47" xr6:coauthVersionMax="47" xr10:uidLastSave="{00000000-0000-0000-0000-000000000000}"/>
  <bookViews>
    <workbookView xWindow="-120" yWindow="-120" windowWidth="20730" windowHeight="11160" xr2:uid="{C241F17A-9E89-4E27-A53F-249D22A5D7DF}"/>
  </bookViews>
  <sheets>
    <sheet name="Payroll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38" i="1" s="1"/>
  <c r="B8" i="1"/>
  <c r="B39" i="1" l="1"/>
  <c r="B18" i="1"/>
  <c r="B28" i="1"/>
  <c r="B17" i="1"/>
  <c r="B21" i="1" s="1"/>
  <c r="B23" i="1" s="1"/>
  <c r="B33" i="1" s="1"/>
  <c r="B34" i="1" l="1"/>
  <c r="B35" i="1"/>
</calcChain>
</file>

<file path=xl/sharedStrings.xml><?xml version="1.0" encoding="utf-8"?>
<sst xmlns="http://schemas.openxmlformats.org/spreadsheetml/2006/main" count="27" uniqueCount="27">
  <si>
    <t>SOL-ICT PAYROLL TEMPLATE</t>
  </si>
  <si>
    <t>ALLOWANCES &amp; EARNINGS</t>
  </si>
  <si>
    <t>Basic Salary</t>
  </si>
  <si>
    <t>Housing</t>
  </si>
  <si>
    <t>Transport Allowance</t>
  </si>
  <si>
    <t xml:space="preserve">Utility Allowance </t>
  </si>
  <si>
    <t>Gross Salary</t>
  </si>
  <si>
    <t>Expenses</t>
  </si>
  <si>
    <t>Operational Expenses</t>
  </si>
  <si>
    <t>Total Outsourcing &amp; Statutory Cost</t>
  </si>
  <si>
    <t>Fidelity Guarantee</t>
  </si>
  <si>
    <t>Medical Insurance &amp; Expenses</t>
  </si>
  <si>
    <t>Backgroud Check</t>
  </si>
  <si>
    <t>ITF (1%)</t>
  </si>
  <si>
    <t>ECA (1%)</t>
  </si>
  <si>
    <t>Group Life Insurance</t>
  </si>
  <si>
    <t>Employer's Contribution to Pension</t>
  </si>
  <si>
    <t>Total Staff Cost</t>
  </si>
  <si>
    <t>STATUTORY DEDUCTIONS</t>
  </si>
  <si>
    <t>Pension (8%)</t>
  </si>
  <si>
    <t>PAYE Tax</t>
  </si>
  <si>
    <t>MANAGEMENT FEES</t>
  </si>
  <si>
    <t>Management Fee (7%)</t>
  </si>
  <si>
    <t>VAT on Mgt Fee (7.5%)</t>
  </si>
  <si>
    <t>SUMMARY</t>
  </si>
  <si>
    <t>Total Deductions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</si>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</sst>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0" borderId="0" xfId="0"/>
    <xf numFmtId="0" fontId="3" fillId="0" borderId="0" xfId="0" applyFont="1"/>
    <xf numFmtId="43" fontId="0" fillId="0" borderId="0" xfId="1" applyFont="1"/>
    <xf numFmtId="43" fontId="0" fillId="0" borderId="0" xfId="0" applyNumberFormat="1"/>
    <xf numFmtId="0" fontId="4" fillId="0" borderId="0" xfId="0" applyFont="1"/>
    <xf numFmtId="43" fontId="4" fillId="0" borderId="0" xfId="1" applyFont="1"/>
    <xf numFmtId="0" fontId="5" fillId="0" borderId="0" xfId="0" applyFont="1"/>
    <xf numFmtId="43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D108-352A-491D-9DFC-03015DB5FD21}">
  <dimension ref="A1:E39"/>
  <sheetViews>
    <sheetView tabSelected="1" topLeftCell="A36" workbookViewId="0">
      <selection activeCell="B54" sqref="B54"/>
    </sheetView>
  </sheetViews>
  <sheetFormatPr defaultRowHeight="15" x14ac:dyDescent="0.25"/>
  <cols>
    <col min="1" max="1" width="33" bestFit="1" customWidth="1"/>
    <col min="2" max="2" width="15" customWidth="1"/>
    <col min="3" max="3" width="11.5703125" bestFit="1" customWidth="1"/>
    <col min="5" max="5" width="13.28515625" bestFit="1" customWidth="1"/>
  </cols>
  <sheetData>
    <row r="1" spans="1:3" ht="21" x14ac:dyDescent="0.35">
      <c r="A1" s="1" t="s">
        <v>0</v>
      </c>
      <c r="B1" s="2"/>
      <c r="C1" s="2"/>
    </row>
    <row r="3" spans="1:3" x14ac:dyDescent="0.25">
      <c r="A3" s="3" t="s">
        <v>1</v>
      </c>
    </row>
    <row r="4" spans="1:3" x14ac:dyDescent="0.25">
      <c r="A4" t="s">
        <v>2</v>
      </c>
      <c r="B4" s="5">
        <v>475656.20000000042</v>
      </c>
    </row>
    <row r="5" spans="1:3" x14ac:dyDescent="0.25">
      <c r="A5" t="s">
        <v>3</v>
      </c>
      <c r="B5" s="5">
        <v>306000</v>
      </c>
    </row>
    <row r="6" spans="1:3" x14ac:dyDescent="0.25">
      <c r="A6" t="s">
        <v>4</v>
      </c>
      <c r="B6" s="5">
        <v>252000</v>
      </c>
    </row>
    <row r="7" spans="1:3" x14ac:dyDescent="0.25">
      <c r="A7" t="s">
        <v>5</v>
      </c>
      <c r="B7" s="5">
        <v>610400.00000000047</v>
      </c>
    </row>
    <row r="8" spans="1:3" x14ac:dyDescent="0.25">
      <c r="A8" s="6" t="s">
        <v>6</v>
      </c>
      <c r="B8" s="7">
        <f>SUM(B4:B7)</f>
        <v>1644056.2000000009</v>
      </c>
    </row>
    <row r="10" spans="1:3" x14ac:dyDescent="0.25">
      <c r="A10" s="6" t="s">
        <v>7</v>
      </c>
    </row>
    <row r="11" spans="1:3" x14ac:dyDescent="0.25">
      <c r="A11" s="6" t="s">
        <v>8</v>
      </c>
      <c r="B11" s="5">
        <v>360000</v>
      </c>
    </row>
    <row r="12" spans="1:3" x14ac:dyDescent="0.25">
      <c r="A12" s="6"/>
      <c r="B12" s="4"/>
    </row>
    <row r="13" spans="1:3" x14ac:dyDescent="0.25">
      <c r="A13" s="6" t="s">
        <v>9</v>
      </c>
      <c r="B13" s="4"/>
    </row>
    <row r="14" spans="1:3" x14ac:dyDescent="0.25">
      <c r="A14" s="8" t="s">
        <v>10</v>
      </c>
      <c r="B14" s="5">
        <v>20000.04</v>
      </c>
    </row>
    <row r="15" spans="1:3" x14ac:dyDescent="0.25">
      <c r="A15" s="8" t="s">
        <v>11</v>
      </c>
      <c r="B15" s="5">
        <v>65499.999999999964</v>
      </c>
    </row>
    <row r="16" spans="1:3" x14ac:dyDescent="0.25">
      <c r="A16" s="8" t="s">
        <v>12</v>
      </c>
      <c r="B16" s="5">
        <v>9999.9600000000009</v>
      </c>
    </row>
    <row r="17" spans="1:3" x14ac:dyDescent="0.25">
      <c r="A17" t="s">
        <v>13</v>
      </c>
      <c r="B17" s="5">
        <f>B8*0.01</f>
        <v>16440.562000000009</v>
      </c>
    </row>
    <row r="18" spans="1:3" x14ac:dyDescent="0.25">
      <c r="A18" s="8" t="s">
        <v>14</v>
      </c>
      <c r="B18" s="5">
        <f>B8*0.01</f>
        <v>16440.562000000009</v>
      </c>
    </row>
    <row r="19" spans="1:3" x14ac:dyDescent="0.25">
      <c r="A19" s="8" t="s">
        <v>15</v>
      </c>
      <c r="B19" s="5">
        <v>31009.686000000002</v>
      </c>
    </row>
    <row r="20" spans="1:3" x14ac:dyDescent="0.25">
      <c r="A20" s="8" t="s">
        <v>16</v>
      </c>
      <c r="B20" s="5">
        <v>103365.62</v>
      </c>
      <c r="C20" s="5"/>
    </row>
    <row r="21" spans="1:3" x14ac:dyDescent="0.25">
      <c r="A21" s="8"/>
      <c r="B21" s="7">
        <f>SUM(B14:B20)</f>
        <v>262756.43</v>
      </c>
    </row>
    <row r="22" spans="1:3" x14ac:dyDescent="0.25">
      <c r="B22" s="7"/>
    </row>
    <row r="23" spans="1:3" x14ac:dyDescent="0.25">
      <c r="A23" s="6" t="s">
        <v>17</v>
      </c>
      <c r="B23" s="7">
        <f>B21+B11+B8</f>
        <v>2266812.6300000008</v>
      </c>
    </row>
    <row r="24" spans="1:3" x14ac:dyDescent="0.25">
      <c r="A24" s="6"/>
      <c r="B24" s="7"/>
    </row>
    <row r="25" spans="1:3" x14ac:dyDescent="0.25">
      <c r="A25" s="3" t="s">
        <v>18</v>
      </c>
      <c r="B25" s="4"/>
    </row>
    <row r="26" spans="1:3" x14ac:dyDescent="0.25">
      <c r="A26" t="s">
        <v>19</v>
      </c>
      <c r="B26" s="5">
        <f>8%*(B4+B5+B6)</f>
        <v>82692.496000000028</v>
      </c>
    </row>
    <row r="27" spans="1:3" x14ac:dyDescent="0.25">
      <c r="A27" t="s">
        <v>20</v>
      </c>
      <c r="B27" s="5">
        <v>121363.68</v>
      </c>
    </row>
    <row r="28" spans="1:3" x14ac:dyDescent="0.25">
      <c r="B28" s="9">
        <f>SUM(B26:B27)</f>
        <v>204056.17600000004</v>
      </c>
    </row>
    <row r="29" spans="1:3" x14ac:dyDescent="0.25">
      <c r="B29" s="9"/>
    </row>
    <row r="31" spans="1:3" x14ac:dyDescent="0.25">
      <c r="A31" s="6"/>
    </row>
    <row r="32" spans="1:3" x14ac:dyDescent="0.25">
      <c r="A32" s="3" t="s">
        <v>21</v>
      </c>
    </row>
    <row r="33" spans="1:5" x14ac:dyDescent="0.25">
      <c r="A33" t="s">
        <v>22</v>
      </c>
      <c r="B33" s="5">
        <f>9%*B23</f>
        <v>204013.13670000006</v>
      </c>
    </row>
    <row r="34" spans="1:5" x14ac:dyDescent="0.25">
      <c r="A34" t="s">
        <v>23</v>
      </c>
      <c r="B34" s="5">
        <f>7.5%*B33</f>
        <v>15300.985252500004</v>
      </c>
    </row>
    <row r="35" spans="1:5" x14ac:dyDescent="0.25">
      <c r="B35" s="9">
        <f>SUM(B33:B34)</f>
        <v>219314.12195250008</v>
      </c>
    </row>
    <row r="37" spans="1:5" x14ac:dyDescent="0.25">
      <c r="A37" s="3" t="s">
        <v>24</v>
      </c>
    </row>
    <row r="38" spans="1:5" x14ac:dyDescent="0.25">
      <c r="A38" t="s">
        <v>25</v>
      </c>
      <c r="B38" s="5">
        <f>SUM(B26:B27)</f>
        <v>204056.17600000004</v>
      </c>
      <c r="E38" s="4"/>
    </row>
    <row r="39" spans="1:5" x14ac:dyDescent="0.25">
      <c r="A39" t="s">
        <v>26</v>
      </c>
      <c r="B39" s="9">
        <f>B8-B38</f>
        <v>1440000.0240000009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Sol</dc:creator>
  <cp:lastModifiedBy>Sol Sol</cp:lastModifiedBy>
  <dcterms:created xsi:type="dcterms:W3CDTF">2025-10-09T11:21:48Z</dcterms:created>
  <dcterms:modified xsi:type="dcterms:W3CDTF">2025-10-09T11:30:58Z</dcterms:modified>
</cp:coreProperties>
</file>