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\Desktop\"/>
    </mc:Choice>
  </mc:AlternateContent>
  <xr:revisionPtr revIDLastSave="0" documentId="8_{E1C04EB4-D98E-4849-800A-DBDB87F5BD22}" xr6:coauthVersionLast="47" xr6:coauthVersionMax="47" xr10:uidLastSave="{00000000-0000-0000-0000-000000000000}"/>
  <bookViews>
    <workbookView xWindow="-108" yWindow="-108" windowWidth="23256" windowHeight="12576" xr2:uid="{EB04978A-1FF8-4F3B-8705-C90B35993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37" i="1" s="1"/>
  <c r="B19" i="1"/>
  <c r="B18" i="1"/>
  <c r="B12" i="1"/>
  <c r="B29" i="1" l="1"/>
  <c r="B38" i="1" s="1"/>
  <c r="B16" i="1"/>
  <c r="B20" i="1" s="1"/>
  <c r="B22" i="1" s="1"/>
  <c r="B32" i="1" s="1"/>
  <c r="B17" i="1"/>
  <c r="B33" i="1" l="1"/>
  <c r="B34" i="1" s="1"/>
</calcChain>
</file>

<file path=xl/sharedStrings.xml><?xml version="1.0" encoding="utf-8"?>
<sst xmlns="http://schemas.openxmlformats.org/spreadsheetml/2006/main" count="30" uniqueCount="30">
  <si>
    <t>SOL-ICT PAYROLL TEMPLATE</t>
  </si>
  <si>
    <t>CET</t>
  </si>
  <si>
    <t>ALLOWANCES &amp; EARNINGS</t>
  </si>
  <si>
    <t>Basic Salary</t>
  </si>
  <si>
    <t>Housing</t>
  </si>
  <si>
    <t>Transport Allowance</t>
  </si>
  <si>
    <t xml:space="preserve">Utility Allowance </t>
  </si>
  <si>
    <t>Entertainment</t>
  </si>
  <si>
    <t>Dressing</t>
  </si>
  <si>
    <t>Annual Leave</t>
  </si>
  <si>
    <t>13th Month</t>
  </si>
  <si>
    <t>Gross Salary</t>
  </si>
  <si>
    <t>Total Outsourcing &amp; Statutory Cost</t>
  </si>
  <si>
    <t>Medical Insurance &amp; Expenses</t>
  </si>
  <si>
    <t>ITF (1%)</t>
  </si>
  <si>
    <t>ECA (1%)</t>
  </si>
  <si>
    <t>Group Life Insurance</t>
  </si>
  <si>
    <t>Employer's Contribution to Pension</t>
  </si>
  <si>
    <t>Total Staff Cost</t>
  </si>
  <si>
    <t>STATUTORY DEDUCTIONS</t>
  </si>
  <si>
    <t>Pension (8%)</t>
  </si>
  <si>
    <t>PAYE Tax</t>
  </si>
  <si>
    <t>Annual Leave (Accrual)</t>
  </si>
  <si>
    <t>13th Month (Accrual)</t>
  </si>
  <si>
    <t>MANAGEMENT FEES</t>
  </si>
  <si>
    <t>Management Fee (7%)</t>
  </si>
  <si>
    <t>VAT on Mgt Fee (7.5%)</t>
  </si>
  <si>
    <t>SUMMARY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</si>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</sst>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.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43" fontId="0" fillId="0" borderId="0" xfId="1" applyFont="1"/>
    <xf numFmtId="0" fontId="6" fillId="0" borderId="0" xfId="0" applyFont="1"/>
    <xf numFmtId="43" fontId="6" fillId="0" borderId="0" xfId="1" applyFont="1"/>
    <xf numFmtId="0" fontId="7" fillId="0" borderId="0" xfId="0" applyFont="1"/>
    <xf numFmtId="43" fontId="0" fillId="0" borderId="0" xfId="0" applyNumberFormat="1"/>
    <xf numFmtId="43" fontId="8" fillId="2" borderId="0" xfId="1" applyFont="1" applyFill="1" applyBorder="1" applyAlignment="1">
      <alignment wrapText="1"/>
    </xf>
    <xf numFmtId="43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7682-CB23-4967-8D02-1FA7A6CF2C7C}">
  <dimension ref="A1:C38"/>
  <sheetViews>
    <sheetView tabSelected="1" topLeftCell="A24" workbookViewId="0">
      <selection activeCell="B38" sqref="B38"/>
    </sheetView>
  </sheetViews>
  <sheetFormatPr defaultRowHeight="14.4" x14ac:dyDescent="0.3"/>
  <cols>
    <col min="1" max="1" width="30.77734375" bestFit="1" customWidth="1"/>
    <col min="2" max="2" width="13.109375" bestFit="1" customWidth="1"/>
  </cols>
  <sheetData>
    <row r="1" spans="1:3" ht="21" x14ac:dyDescent="0.4">
      <c r="A1" s="1" t="s">
        <v>0</v>
      </c>
      <c r="B1" s="2"/>
      <c r="C1" s="2"/>
    </row>
    <row r="2" spans="1:3" x14ac:dyDescent="0.3">
      <c r="B2" s="3" t="s">
        <v>1</v>
      </c>
    </row>
    <row r="3" spans="1:3" x14ac:dyDescent="0.3">
      <c r="A3" s="4" t="s">
        <v>2</v>
      </c>
      <c r="B3" s="5"/>
    </row>
    <row r="4" spans="1:3" x14ac:dyDescent="0.3">
      <c r="A4" t="s">
        <v>3</v>
      </c>
      <c r="B4" s="6">
        <v>472175.61920033157</v>
      </c>
    </row>
    <row r="5" spans="1:3" x14ac:dyDescent="0.3">
      <c r="A5" t="s">
        <v>4</v>
      </c>
      <c r="B5" s="6">
        <v>354131.71440024843</v>
      </c>
    </row>
    <row r="6" spans="1:3" x14ac:dyDescent="0.3">
      <c r="A6" t="s">
        <v>5</v>
      </c>
      <c r="B6" s="6">
        <v>236087.80960016523</v>
      </c>
    </row>
    <row r="7" spans="1:3" x14ac:dyDescent="0.3">
      <c r="A7" t="s">
        <v>6</v>
      </c>
      <c r="B7" s="6">
        <v>413153.66680029</v>
      </c>
    </row>
    <row r="8" spans="1:3" x14ac:dyDescent="0.3">
      <c r="A8" t="s">
        <v>7</v>
      </c>
      <c r="B8" s="6">
        <v>354131.71440024843</v>
      </c>
    </row>
    <row r="9" spans="1:3" x14ac:dyDescent="0.3">
      <c r="A9" t="s">
        <v>8</v>
      </c>
      <c r="B9" s="6">
        <v>354131.71440024843</v>
      </c>
    </row>
    <row r="10" spans="1:3" x14ac:dyDescent="0.3">
      <c r="A10" t="s">
        <v>9</v>
      </c>
      <c r="B10" s="6">
        <v>82630.733360057886</v>
      </c>
    </row>
    <row r="11" spans="1:3" x14ac:dyDescent="0.3">
      <c r="A11" t="s">
        <v>10</v>
      </c>
      <c r="B11" s="6">
        <v>94435.123840066197</v>
      </c>
    </row>
    <row r="12" spans="1:3" x14ac:dyDescent="0.3">
      <c r="A12" s="7" t="s">
        <v>11</v>
      </c>
      <c r="B12" s="8">
        <f>SUM(B4:B11)</f>
        <v>2360878.0960016558</v>
      </c>
    </row>
    <row r="14" spans="1:3" x14ac:dyDescent="0.3">
      <c r="A14" s="7" t="s">
        <v>12</v>
      </c>
      <c r="B14" s="6"/>
    </row>
    <row r="15" spans="1:3" x14ac:dyDescent="0.3">
      <c r="A15" s="9" t="s">
        <v>13</v>
      </c>
      <c r="B15" s="10">
        <v>51428.570400000004</v>
      </c>
    </row>
    <row r="16" spans="1:3" x14ac:dyDescent="0.3">
      <c r="A16" t="s">
        <v>14</v>
      </c>
      <c r="B16" s="10">
        <f>1%*B12</f>
        <v>23608.78096001656</v>
      </c>
    </row>
    <row r="17" spans="1:2" x14ac:dyDescent="0.3">
      <c r="A17" s="9" t="s">
        <v>15</v>
      </c>
      <c r="B17" s="10">
        <f>B12*0.01</f>
        <v>23608.78096001656</v>
      </c>
    </row>
    <row r="18" spans="1:2" x14ac:dyDescent="0.3">
      <c r="A18" s="9" t="s">
        <v>16</v>
      </c>
      <c r="B18" s="10">
        <f>SUM((B4:B6))*0.6%*3</f>
        <v>19123.112577613418</v>
      </c>
    </row>
    <row r="19" spans="1:2" ht="15" x14ac:dyDescent="0.3">
      <c r="A19" s="9" t="s">
        <v>17</v>
      </c>
      <c r="B19" s="11">
        <f>((B4+B5+B6)*0.1)</f>
        <v>106239.51432007454</v>
      </c>
    </row>
    <row r="20" spans="1:2" x14ac:dyDescent="0.3">
      <c r="A20" s="9"/>
      <c r="B20" s="8">
        <f>SUM(B15:B19)</f>
        <v>224008.75921772106</v>
      </c>
    </row>
    <row r="21" spans="1:2" x14ac:dyDescent="0.3">
      <c r="B21" s="8"/>
    </row>
    <row r="22" spans="1:2" x14ac:dyDescent="0.3">
      <c r="A22" s="7" t="s">
        <v>18</v>
      </c>
      <c r="B22" s="8">
        <f>B12+B20</f>
        <v>2584886.8552193767</v>
      </c>
    </row>
    <row r="23" spans="1:2" x14ac:dyDescent="0.3">
      <c r="A23" s="7"/>
      <c r="B23" s="8"/>
    </row>
    <row r="24" spans="1:2" x14ac:dyDescent="0.3">
      <c r="A24" s="4" t="s">
        <v>19</v>
      </c>
      <c r="B24" s="6"/>
    </row>
    <row r="25" spans="1:2" x14ac:dyDescent="0.3">
      <c r="A25" t="s">
        <v>20</v>
      </c>
      <c r="B25" s="10">
        <f>8%*(B4+B5+B6)</f>
        <v>84991.611456059632</v>
      </c>
    </row>
    <row r="26" spans="1:2" x14ac:dyDescent="0.3">
      <c r="A26" t="s">
        <v>21</v>
      </c>
      <c r="B26" s="10">
        <v>178820.66574547201</v>
      </c>
    </row>
    <row r="27" spans="1:2" x14ac:dyDescent="0.3">
      <c r="A27" t="s">
        <v>22</v>
      </c>
      <c r="B27" s="6">
        <v>82630.733360057886</v>
      </c>
    </row>
    <row r="28" spans="1:2" x14ac:dyDescent="0.3">
      <c r="A28" t="s">
        <v>23</v>
      </c>
      <c r="B28" s="6">
        <v>94435.123840066197</v>
      </c>
    </row>
    <row r="29" spans="1:2" x14ac:dyDescent="0.3">
      <c r="B29" s="12">
        <f>SUM(B25:B28)</f>
        <v>440878.1344016557</v>
      </c>
    </row>
    <row r="30" spans="1:2" x14ac:dyDescent="0.3">
      <c r="A30" s="7"/>
    </row>
    <row r="31" spans="1:2" x14ac:dyDescent="0.3">
      <c r="A31" s="4" t="s">
        <v>24</v>
      </c>
    </row>
    <row r="32" spans="1:2" x14ac:dyDescent="0.3">
      <c r="A32" t="s">
        <v>25</v>
      </c>
      <c r="B32" s="10">
        <f>10%*B22</f>
        <v>258488.68552193767</v>
      </c>
    </row>
    <row r="33" spans="1:2" x14ac:dyDescent="0.3">
      <c r="A33" t="s">
        <v>26</v>
      </c>
      <c r="B33" s="10">
        <f>7.5%*B32</f>
        <v>19386.651414145326</v>
      </c>
    </row>
    <row r="34" spans="1:2" x14ac:dyDescent="0.3">
      <c r="B34" s="12">
        <f>SUM(B32:B33)</f>
        <v>277875.33693608298</v>
      </c>
    </row>
    <row r="36" spans="1:2" x14ac:dyDescent="0.3">
      <c r="A36" s="4" t="s">
        <v>27</v>
      </c>
    </row>
    <row r="37" spans="1:2" x14ac:dyDescent="0.3">
      <c r="A37" t="s">
        <v>28</v>
      </c>
      <c r="B37" s="10">
        <f>SUM(B25:B28)</f>
        <v>440878.1344016557</v>
      </c>
    </row>
    <row r="38" spans="1:2" x14ac:dyDescent="0.3">
      <c r="A38" t="s">
        <v>29</v>
      </c>
      <c r="B38" s="12">
        <f>B12-B29</f>
        <v>1919999.9616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Sol</dc:creator>
  <cp:lastModifiedBy>Sol Sol</cp:lastModifiedBy>
  <dcterms:created xsi:type="dcterms:W3CDTF">2025-10-09T16:25:20Z</dcterms:created>
  <dcterms:modified xsi:type="dcterms:W3CDTF">2025-10-09T16:25:50Z</dcterms:modified>
</cp:coreProperties>
</file>